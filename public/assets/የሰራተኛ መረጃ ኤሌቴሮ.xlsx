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4880" windowHeight="792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J75" i="1" l="1"/>
  <c r="J68" i="1"/>
  <c r="J70" i="1"/>
  <c r="J67" i="1"/>
  <c r="J44" i="1"/>
  <c r="J45" i="1"/>
  <c r="J46" i="1"/>
  <c r="J47" i="1"/>
  <c r="J48" i="1"/>
  <c r="J49" i="1"/>
  <c r="J50" i="1"/>
  <c r="J51" i="1"/>
</calcChain>
</file>

<file path=xl/sharedStrings.xml><?xml version="1.0" encoding="utf-8"?>
<sst xmlns="http://schemas.openxmlformats.org/spreadsheetml/2006/main" count="436" uniqueCount="215">
  <si>
    <t>የሰራተኞች መረጃ</t>
  </si>
  <si>
    <t>ተ.ቁ</t>
  </si>
  <si>
    <t>የሰራተኛው ስም</t>
  </si>
  <si>
    <t>ፆታ</t>
  </si>
  <si>
    <t>የት/ም ደረጃ</t>
  </si>
  <si>
    <t>የስራ ልምድ ብዛት</t>
  </si>
  <si>
    <t>የስራ መደቡ መጠሪያ</t>
  </si>
  <si>
    <t>የግብር መክፍያ መለያ ቁጥር</t>
  </si>
  <si>
    <t>የባንክ አካውንት ቁጥር</t>
  </si>
  <si>
    <t>ስልክ ቁጥር</t>
  </si>
  <si>
    <t>ምርመራ</t>
  </si>
  <si>
    <t xml:space="preserve">የቅጥር ዘመን </t>
  </si>
  <si>
    <t>Dawit Chufamo</t>
  </si>
  <si>
    <t>Elishaday Abera</t>
  </si>
  <si>
    <t>Ashenafi Kasa</t>
  </si>
  <si>
    <t>Beruktawit Beyene</t>
  </si>
  <si>
    <t>እንግዳ ተቀባይ</t>
  </si>
  <si>
    <t xml:space="preserve">የደሞዝ መጠን </t>
  </si>
  <si>
    <t>mihretu kebede</t>
  </si>
  <si>
    <t>Genet Tadese</t>
  </si>
  <si>
    <t>Kibamo fiqire</t>
  </si>
  <si>
    <t>Degefch Alemayew</t>
  </si>
  <si>
    <t xml:space="preserve">Fanaye Handebo </t>
  </si>
  <si>
    <t>Adanech Daniel</t>
  </si>
  <si>
    <t>Tesfawork Aalew</t>
  </si>
  <si>
    <t>Tsehaynesh Bililo</t>
  </si>
  <si>
    <t>Melesech Tamirat</t>
  </si>
  <si>
    <t>Biranesh Ayele</t>
  </si>
  <si>
    <t>Genet Aberam</t>
  </si>
  <si>
    <t>Aregash Adebo</t>
  </si>
  <si>
    <t>ቤት አያያዝ</t>
  </si>
  <si>
    <t>Mathose Shugute</t>
  </si>
  <si>
    <t>Deginesh Ejamo</t>
  </si>
  <si>
    <t>Tsehay Tarekegn</t>
  </si>
  <si>
    <t>Yoseph Handebo</t>
  </si>
  <si>
    <t>Rehale W/Gorigse</t>
  </si>
  <si>
    <t>Negasu Ayinewaga</t>
  </si>
  <si>
    <t>Shitaye Asefa</t>
  </si>
  <si>
    <t>Mihiret Adimasu</t>
  </si>
  <si>
    <t>Etagegn Zerfu</t>
  </si>
  <si>
    <t>Marta Alemu</t>
  </si>
  <si>
    <t>Buzunsh Mulatu</t>
  </si>
  <si>
    <t>Hana Tekle</t>
  </si>
  <si>
    <t>ምግብ ዝግጅት</t>
  </si>
  <si>
    <t xml:space="preserve">Mesekerem Getahun </t>
  </si>
  <si>
    <t>Yonas Teshome</t>
  </si>
  <si>
    <t>Eden Tigabu</t>
  </si>
  <si>
    <t>Beteleme Tinisaye</t>
  </si>
  <si>
    <t>Naridos sisom</t>
  </si>
  <si>
    <t>Dagime bekele</t>
  </si>
  <si>
    <t>Hana Tadese</t>
  </si>
  <si>
    <t>Berahanesh  Alemu</t>
  </si>
  <si>
    <t>Frewote Adimasu</t>
  </si>
  <si>
    <t>መስተንግዶ</t>
  </si>
  <si>
    <t xml:space="preserve">Adenew Ebede </t>
  </si>
  <si>
    <t>Asefa Tamire</t>
  </si>
  <si>
    <t xml:space="preserve">Degefa Abayine </t>
  </si>
  <si>
    <t>Ayele Benichiso</t>
  </si>
  <si>
    <t>Tariku chufamo</t>
  </si>
  <si>
    <t>Mulunesh Zeleke</t>
  </si>
  <si>
    <t>Samuel Garikabo</t>
  </si>
  <si>
    <t>ጥበቃ</t>
  </si>
  <si>
    <t>Mekonin Tagese</t>
  </si>
  <si>
    <t>Ayinalem Hayilu</t>
  </si>
  <si>
    <t>Ephrem Lentebo</t>
  </si>
  <si>
    <t>ጠቅላላ አገልግሎት</t>
  </si>
  <si>
    <t>Biniyam Teketel</t>
  </si>
  <si>
    <t>Tebekech Melaku</t>
  </si>
  <si>
    <t>Girum Solomon</t>
  </si>
  <si>
    <t>Demeke woloro</t>
  </si>
  <si>
    <t>Nigusu Dagnachew</t>
  </si>
  <si>
    <t xml:space="preserve">Gudiso Duba </t>
  </si>
  <si>
    <t>Abeje Desta</t>
  </si>
  <si>
    <t>Yisak wondimu</t>
  </si>
  <si>
    <t>ማኔጅመንት</t>
  </si>
  <si>
    <t>Mihirtu Tadese</t>
  </si>
  <si>
    <t>Akalu Adane</t>
  </si>
  <si>
    <t>Dagmawit Abera</t>
  </si>
  <si>
    <t>Mihiret Tsegaye</t>
  </si>
  <si>
    <t>Petros Ergicho</t>
  </si>
  <si>
    <t>ሒሳብ ክፍል</t>
  </si>
  <si>
    <t>ኢልትሮ ኢንተርናሽል ሆቴል</t>
  </si>
  <si>
    <t>ሴት</t>
  </si>
  <si>
    <t>ዲፕሎማ</t>
  </si>
  <si>
    <t>ወንድ</t>
  </si>
  <si>
    <t>ማስተር</t>
  </si>
  <si>
    <t>22/12/2018</t>
  </si>
  <si>
    <t>ዲግሪ</t>
  </si>
  <si>
    <t>ደረጃ -2</t>
  </si>
  <si>
    <t>11/42018</t>
  </si>
  <si>
    <t>15/12/2018</t>
  </si>
  <si>
    <t>Meherte Bekel</t>
  </si>
  <si>
    <t xml:space="preserve"> </t>
  </si>
  <si>
    <t>3 አመት</t>
  </si>
  <si>
    <t>4 አመት</t>
  </si>
  <si>
    <t>16 አመት</t>
  </si>
  <si>
    <t>11 ወር</t>
  </si>
  <si>
    <t>5 አመት</t>
  </si>
  <si>
    <t>1 አመት</t>
  </si>
  <si>
    <t>2 አመት</t>
  </si>
  <si>
    <t>1 ወር</t>
  </si>
  <si>
    <t>9 ወር</t>
  </si>
  <si>
    <t>24/4/2018</t>
  </si>
  <si>
    <t>ሰርተፍኬት</t>
  </si>
  <si>
    <t>14 አመት</t>
  </si>
  <si>
    <t>27/3/2018</t>
  </si>
  <si>
    <t>15/4/2018</t>
  </si>
  <si>
    <t>10 ወር</t>
  </si>
  <si>
    <t>ጁስ ማን</t>
  </si>
  <si>
    <t>45 አመት</t>
  </si>
  <si>
    <t>ደረጃ -4</t>
  </si>
  <si>
    <t>8 አመት</t>
  </si>
  <si>
    <t>17/10/2018</t>
  </si>
  <si>
    <t>Aberaham Abali</t>
  </si>
  <si>
    <t>ቡቸሪ</t>
  </si>
  <si>
    <t>27/2/2018</t>
  </si>
  <si>
    <t>10 ክፍል</t>
  </si>
  <si>
    <t>6 ክፍል</t>
  </si>
  <si>
    <t>9 ክፍል</t>
  </si>
  <si>
    <t>12 ክፍል</t>
  </si>
  <si>
    <t>11 ክፍል</t>
  </si>
  <si>
    <t>19/8/2018</t>
  </si>
  <si>
    <t>5 ወር</t>
  </si>
  <si>
    <t>የማታ እንግዳ ተቀባይ</t>
  </si>
  <si>
    <t>ካሽር</t>
  </si>
  <si>
    <t>8 ክፍል</t>
  </si>
  <si>
    <t>25/8/2018</t>
  </si>
  <si>
    <t>6/92018</t>
  </si>
  <si>
    <t>17 አመት</t>
  </si>
  <si>
    <t>26/10/2018</t>
  </si>
  <si>
    <t>Zelaleme  Temesegen</t>
  </si>
  <si>
    <t>15/11/2018</t>
  </si>
  <si>
    <t>10  ወር</t>
  </si>
  <si>
    <t>1//5/2018</t>
  </si>
  <si>
    <t>2 ወር</t>
  </si>
  <si>
    <t>`</t>
  </si>
  <si>
    <t>18 አመት</t>
  </si>
  <si>
    <t>20/10/2018</t>
  </si>
  <si>
    <t>3 ወር</t>
  </si>
  <si>
    <t>10 ከፍል</t>
  </si>
  <si>
    <t>4 ወር</t>
  </si>
  <si>
    <t>18/8/2018</t>
  </si>
  <si>
    <t>8 ከፍል</t>
  </si>
  <si>
    <t>15 አመት</t>
  </si>
  <si>
    <t>19/04/2018</t>
  </si>
  <si>
    <t>ባሬስታ</t>
  </si>
  <si>
    <t>ባር ቴንደር</t>
  </si>
  <si>
    <t>ረዳት ባሬስታ</t>
  </si>
  <si>
    <t>5 ከፍል</t>
  </si>
  <si>
    <t>6 አመት</t>
  </si>
  <si>
    <t>25/06/2018</t>
  </si>
  <si>
    <t>ዋና ግዥ</t>
  </si>
  <si>
    <t>1.6 ወር</t>
  </si>
  <si>
    <t>እንግዳ ተቀባይ ሀላፊ</t>
  </si>
  <si>
    <t>11 አመት</t>
  </si>
  <si>
    <t>20/12/2018</t>
  </si>
  <si>
    <t>7 ወር</t>
  </si>
  <si>
    <t>ደረጃ -3</t>
  </si>
  <si>
    <t>1.8 ወር</t>
  </si>
  <si>
    <t>Sumeya Nasere</t>
  </si>
  <si>
    <t>ኦርደር ተቀባይ</t>
  </si>
  <si>
    <t>13/12/2018</t>
  </si>
  <si>
    <t>Eyerusalem Haylemaryam</t>
  </si>
  <si>
    <t>6 ወር</t>
  </si>
  <si>
    <t>15/6/2018</t>
  </si>
  <si>
    <t>Kalkidan Alemu</t>
  </si>
  <si>
    <t>27/8/2018</t>
  </si>
  <si>
    <t>ቡና  አፍይ</t>
  </si>
  <si>
    <t>Zana Tirago</t>
  </si>
  <si>
    <t>1.4ወር</t>
  </si>
  <si>
    <t>እቃ አጠባ</t>
  </si>
  <si>
    <t>Tisganshe Weleda</t>
  </si>
  <si>
    <t>10ወር</t>
  </si>
  <si>
    <t>25/3/2018</t>
  </si>
  <si>
    <t>13/10/2018</t>
  </si>
  <si>
    <t>5  አመት</t>
  </si>
  <si>
    <t>Maranata  Tesema</t>
  </si>
  <si>
    <t>ስቶር ኪፕር</t>
  </si>
  <si>
    <t>1 አመት 2ወር</t>
  </si>
  <si>
    <t>30/09/2018</t>
  </si>
  <si>
    <t>0 አመት</t>
  </si>
  <si>
    <t>እቃ አጣቢ</t>
  </si>
  <si>
    <t>19/10/2018</t>
  </si>
  <si>
    <t>Ayantu Kebede</t>
  </si>
  <si>
    <t>0 ክፍል</t>
  </si>
  <si>
    <t>Bancheayhu mkuriuriya</t>
  </si>
  <si>
    <t>11 ከፍል</t>
  </si>
  <si>
    <t>ኬክ ሰራተኛ</t>
  </si>
  <si>
    <t>ፒዛ ሰራተኛ</t>
  </si>
  <si>
    <t>እንጅራ ጋጋሪ</t>
  </si>
  <si>
    <t>Dawit  Markose</t>
  </si>
  <si>
    <t>Deploma</t>
  </si>
  <si>
    <t>አትክልተኛ</t>
  </si>
  <si>
    <t>12  ክፍል</t>
  </si>
  <si>
    <t>Teraza Desalegn</t>
  </si>
  <si>
    <t>Esayase</t>
  </si>
  <si>
    <t>Habetamu</t>
  </si>
  <si>
    <t>ዋና ሼፍ</t>
  </si>
  <si>
    <t>ካሜራ ተቆጣጣሪ</t>
  </si>
  <si>
    <t>Wondoson</t>
  </si>
  <si>
    <t>Alemaze aban</t>
  </si>
  <si>
    <t>welede</t>
  </si>
  <si>
    <t>Tisehay Mekiso</t>
  </si>
  <si>
    <t>hememr</t>
  </si>
  <si>
    <t>ላውንደሪ</t>
  </si>
  <si>
    <t>7 ክፍል</t>
  </si>
  <si>
    <t>ደረጃ -5</t>
  </si>
  <si>
    <t>20 አመት</t>
  </si>
  <si>
    <t>0 ወር</t>
  </si>
  <si>
    <t>18/07/2019</t>
  </si>
  <si>
    <t>7 አመት</t>
  </si>
  <si>
    <t>30/5/2018</t>
  </si>
  <si>
    <t>310/2018</t>
  </si>
  <si>
    <t>15አመት</t>
  </si>
  <si>
    <t>27/11/2018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</si>
</sst>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Power Geez Unicode2"/>
    </font>
    <font>
      <sz val="18"/>
      <color theme="1"/>
      <name val="Power Geez Unicode2"/>
    </font>
    <font>
      <sz val="11"/>
      <color theme="1"/>
      <name val="Goudy Old Style"/>
      <family val="1"/>
    </font>
    <font>
      <b/>
      <sz val="11"/>
      <color theme="1"/>
      <name val="Agency FB"/>
      <family val="2"/>
    </font>
    <font>
      <b/>
      <sz val="12"/>
      <color theme="1"/>
      <name val="Power Geez Unicode2"/>
    </font>
    <font>
      <b/>
      <sz val="11"/>
      <color theme="1"/>
      <name val="Calibri"/>
      <family val="2"/>
      <scheme val="minor"/>
    </font>
    <font>
      <b/>
      <sz val="11"/>
      <color rgb="FFFF0000"/>
      <name val="Agency FB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4" fillId="2" borderId="1" xfId="0" applyFont="1" applyFill="1" applyBorder="1" applyAlignment="1">
      <alignment horizontal="left"/>
    </xf>
    <xf numFmtId="0" fontId="0" fillId="0" borderId="1" xfId="0" applyBorder="1"/>
    <xf numFmtId="0" fontId="4" fillId="3" borderId="1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3" fillId="2" borderId="1" xfId="0" applyFont="1" applyFill="1" applyBorder="1"/>
    <xf numFmtId="0" fontId="4" fillId="0" borderId="4" xfId="0" applyFont="1" applyBorder="1" applyAlignment="1">
      <alignment horizontal="left"/>
    </xf>
    <xf numFmtId="0" fontId="3" fillId="0" borderId="4" xfId="0" applyFont="1" applyBorder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44" fontId="4" fillId="2" borderId="1" xfId="0" applyNumberFormat="1" applyFont="1" applyFill="1" applyBorder="1" applyAlignment="1">
      <alignment horizontal="center"/>
    </xf>
    <xf numFmtId="44" fontId="4" fillId="0" borderId="1" xfId="0" applyNumberFormat="1" applyFont="1" applyFill="1" applyBorder="1" applyAlignment="1">
      <alignment horizontal="center"/>
    </xf>
    <xf numFmtId="44" fontId="4" fillId="0" borderId="4" xfId="0" applyNumberFormat="1" applyFont="1" applyBorder="1" applyAlignment="1">
      <alignment horizontal="center"/>
    </xf>
    <xf numFmtId="44" fontId="7" fillId="0" borderId="4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yell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>
        <row r="20">
          <cell r="M20">
            <v>2999.9995999999996</v>
          </cell>
        </row>
        <row r="21">
          <cell r="M21">
            <v>2999.9995999999996</v>
          </cell>
        </row>
        <row r="22">
          <cell r="M22">
            <v>2999.9995999999996</v>
          </cell>
        </row>
        <row r="23">
          <cell r="M23">
            <v>2999.9995999999996</v>
          </cell>
        </row>
        <row r="24">
          <cell r="M24">
            <v>2999.9995999999996</v>
          </cell>
        </row>
        <row r="25">
          <cell r="M25">
            <v>2999.9995999999996</v>
          </cell>
        </row>
        <row r="27">
          <cell r="M27">
            <v>2999.9995999999996</v>
          </cell>
        </row>
        <row r="29">
          <cell r="M29">
            <v>2999.9995999999996</v>
          </cell>
        </row>
      </sheetData>
      <sheetData sheetId="2">
        <row r="19">
          <cell r="M19">
            <v>8000.0025999999998</v>
          </cell>
        </row>
        <row r="23">
          <cell r="M23">
            <v>30000.001500000002</v>
          </cell>
        </row>
        <row r="25">
          <cell r="M25">
            <v>20000.006699999998</v>
          </cell>
        </row>
      </sheetData>
      <sheetData sheetId="3">
        <row r="5">
          <cell r="M5">
            <v>4000.0034999999998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92"/>
  <sheetViews>
    <sheetView tabSelected="1" workbookViewId="0">
      <selection activeCell="L19" sqref="L19"/>
    </sheetView>
  </sheetViews>
  <sheetFormatPr defaultRowHeight="15" x14ac:dyDescent="0.25"/>
  <cols>
    <col min="4" max="4" width="21.42578125" customWidth="1"/>
    <col min="5" max="5" width="6.42578125" customWidth="1"/>
    <col min="6" max="6" width="13.5703125" bestFit="1" customWidth="1"/>
    <col min="7" max="7" width="19.140625" bestFit="1" customWidth="1"/>
    <col min="8" max="8" width="14.42578125" bestFit="1" customWidth="1"/>
    <col min="9" max="9" width="22.140625" bestFit="1" customWidth="1"/>
    <col min="10" max="10" width="17" bestFit="1" customWidth="1"/>
    <col min="11" max="11" width="29.42578125" bestFit="1" customWidth="1"/>
    <col min="12" max="12" width="23.42578125" bestFit="1" customWidth="1"/>
    <col min="13" max="13" width="12.140625" bestFit="1" customWidth="1"/>
  </cols>
  <sheetData>
    <row r="4" spans="3:14" ht="23.25" x14ac:dyDescent="0.35">
      <c r="F4" s="32" t="s">
        <v>81</v>
      </c>
      <c r="G4" s="32"/>
      <c r="H4" s="32"/>
      <c r="I4" s="32"/>
      <c r="J4" s="32"/>
      <c r="K4" s="32"/>
    </row>
    <row r="5" spans="3:14" ht="23.25" x14ac:dyDescent="0.35">
      <c r="F5" s="33" t="s">
        <v>0</v>
      </c>
      <c r="G5" s="33"/>
      <c r="H5" s="33"/>
      <c r="I5" s="33"/>
      <c r="J5" s="33"/>
      <c r="K5" s="33"/>
    </row>
    <row r="6" spans="3:14" ht="52.5" customHeight="1" x14ac:dyDescent="0.25">
      <c r="C6" s="8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11</v>
      </c>
      <c r="I6" s="8" t="s">
        <v>6</v>
      </c>
      <c r="J6" s="8" t="s">
        <v>17</v>
      </c>
      <c r="K6" s="8" t="s">
        <v>7</v>
      </c>
      <c r="L6" s="8" t="s">
        <v>8</v>
      </c>
      <c r="M6" s="8" t="s">
        <v>9</v>
      </c>
      <c r="N6" s="8" t="s">
        <v>10</v>
      </c>
    </row>
    <row r="7" spans="3:14" ht="15.75" x14ac:dyDescent="0.3">
      <c r="C7" s="5">
        <v>1</v>
      </c>
      <c r="D7" s="19" t="s">
        <v>12</v>
      </c>
      <c r="E7" s="4" t="s">
        <v>84</v>
      </c>
      <c r="F7" s="4" t="s">
        <v>87</v>
      </c>
      <c r="G7" s="4" t="s">
        <v>210</v>
      </c>
      <c r="H7" s="7" t="s">
        <v>211</v>
      </c>
      <c r="I7" s="4" t="s">
        <v>153</v>
      </c>
      <c r="J7" s="6">
        <v>12000</v>
      </c>
      <c r="K7" s="1"/>
      <c r="L7" s="1"/>
      <c r="M7" s="7">
        <v>906133844</v>
      </c>
      <c r="N7" s="1"/>
    </row>
    <row r="8" spans="3:14" ht="15.75" x14ac:dyDescent="0.3">
      <c r="C8" s="5">
        <v>2</v>
      </c>
      <c r="D8" s="7" t="s">
        <v>13</v>
      </c>
      <c r="E8" s="4" t="s">
        <v>82</v>
      </c>
      <c r="F8" s="4" t="s">
        <v>87</v>
      </c>
      <c r="G8" s="4" t="s">
        <v>140</v>
      </c>
      <c r="H8" s="25">
        <v>43442</v>
      </c>
      <c r="I8" s="4" t="s">
        <v>16</v>
      </c>
      <c r="J8" s="6">
        <v>4000</v>
      </c>
      <c r="K8" s="1"/>
      <c r="L8" s="1"/>
      <c r="M8" s="7">
        <v>904563656</v>
      </c>
      <c r="N8" s="1"/>
    </row>
    <row r="9" spans="3:14" ht="15.75" x14ac:dyDescent="0.3">
      <c r="C9" s="5">
        <v>3</v>
      </c>
      <c r="D9" s="7" t="s">
        <v>14</v>
      </c>
      <c r="E9" s="4" t="s">
        <v>84</v>
      </c>
      <c r="F9" s="4" t="s">
        <v>119</v>
      </c>
      <c r="G9" s="4" t="s">
        <v>156</v>
      </c>
      <c r="H9" s="25">
        <v>43105</v>
      </c>
      <c r="I9" s="4" t="s">
        <v>16</v>
      </c>
      <c r="J9" s="6">
        <v>5000</v>
      </c>
      <c r="K9" s="1"/>
      <c r="L9" s="1"/>
      <c r="M9" s="7">
        <v>942445546</v>
      </c>
      <c r="N9" s="1"/>
    </row>
    <row r="10" spans="3:14" ht="15.75" x14ac:dyDescent="0.3">
      <c r="C10" s="5">
        <v>4</v>
      </c>
      <c r="D10" s="7" t="s">
        <v>15</v>
      </c>
      <c r="E10" s="4" t="s">
        <v>82</v>
      </c>
      <c r="F10" s="4" t="s">
        <v>87</v>
      </c>
      <c r="G10" s="4" t="s">
        <v>98</v>
      </c>
      <c r="H10" s="25">
        <v>43111</v>
      </c>
      <c r="I10" s="4" t="s">
        <v>16</v>
      </c>
      <c r="J10" s="6">
        <v>4000</v>
      </c>
      <c r="K10" s="1"/>
      <c r="L10" s="1"/>
      <c r="M10" s="7">
        <v>902053521</v>
      </c>
      <c r="N10" s="1"/>
    </row>
    <row r="11" spans="3:14" ht="15.75" x14ac:dyDescent="0.3">
      <c r="C11" s="5">
        <v>5</v>
      </c>
      <c r="D11" s="7" t="s">
        <v>18</v>
      </c>
      <c r="E11" s="4" t="s">
        <v>82</v>
      </c>
      <c r="F11" s="4" t="s">
        <v>120</v>
      </c>
      <c r="G11" s="4" t="s">
        <v>175</v>
      </c>
      <c r="H11" s="25">
        <v>43104</v>
      </c>
      <c r="I11" s="4" t="s">
        <v>204</v>
      </c>
      <c r="J11" s="6">
        <v>6000</v>
      </c>
      <c r="K11" s="1"/>
      <c r="L11" s="1"/>
      <c r="M11" s="7">
        <v>922586807</v>
      </c>
      <c r="N11" s="1"/>
    </row>
    <row r="12" spans="3:14" ht="15.75" x14ac:dyDescent="0.3">
      <c r="C12" s="5">
        <v>6</v>
      </c>
      <c r="D12" s="9" t="s">
        <v>19</v>
      </c>
      <c r="E12" s="26" t="s">
        <v>82</v>
      </c>
      <c r="F12" s="26" t="s">
        <v>193</v>
      </c>
      <c r="G12" s="26" t="s">
        <v>175</v>
      </c>
      <c r="H12" s="27">
        <v>43440</v>
      </c>
      <c r="I12" s="26" t="s">
        <v>204</v>
      </c>
      <c r="J12" s="21">
        <v>6000</v>
      </c>
      <c r="K12" s="14"/>
      <c r="L12" s="14"/>
      <c r="M12" s="9">
        <v>926874431</v>
      </c>
      <c r="N12" s="1"/>
    </row>
    <row r="13" spans="3:14" ht="15.75" x14ac:dyDescent="0.3">
      <c r="C13" s="5">
        <v>7</v>
      </c>
      <c r="D13" s="7" t="s">
        <v>20</v>
      </c>
      <c r="E13" s="4" t="s">
        <v>84</v>
      </c>
      <c r="F13" s="4" t="s">
        <v>116</v>
      </c>
      <c r="G13" s="4" t="s">
        <v>97</v>
      </c>
      <c r="H13" s="7" t="s">
        <v>112</v>
      </c>
      <c r="I13" s="4" t="s">
        <v>204</v>
      </c>
      <c r="J13" s="6">
        <v>6000</v>
      </c>
      <c r="K13" s="1"/>
      <c r="L13" s="1"/>
      <c r="M13" s="7">
        <v>929917353</v>
      </c>
      <c r="N13" s="1"/>
    </row>
    <row r="14" spans="3:14" ht="15.75" x14ac:dyDescent="0.3">
      <c r="C14" s="5">
        <v>9</v>
      </c>
      <c r="D14" s="19" t="s">
        <v>21</v>
      </c>
      <c r="E14" s="4" t="s">
        <v>82</v>
      </c>
      <c r="F14" s="4" t="s">
        <v>116</v>
      </c>
      <c r="G14" s="4" t="s">
        <v>97</v>
      </c>
      <c r="H14" s="7" t="s">
        <v>112</v>
      </c>
      <c r="I14" s="4" t="s">
        <v>30</v>
      </c>
      <c r="J14" s="6">
        <v>3000</v>
      </c>
      <c r="K14" s="1"/>
      <c r="L14" s="1"/>
      <c r="M14" s="11"/>
      <c r="N14" s="1"/>
    </row>
    <row r="15" spans="3:14" ht="15.75" x14ac:dyDescent="0.3">
      <c r="C15" s="5">
        <v>10</v>
      </c>
      <c r="D15" s="7" t="s">
        <v>22</v>
      </c>
      <c r="E15" s="4" t="s">
        <v>82</v>
      </c>
      <c r="F15" s="4" t="s">
        <v>119</v>
      </c>
      <c r="G15" s="4" t="s">
        <v>93</v>
      </c>
      <c r="H15" s="25">
        <v>43286</v>
      </c>
      <c r="I15" s="4" t="s">
        <v>30</v>
      </c>
      <c r="J15" s="6">
        <v>3000</v>
      </c>
      <c r="K15" s="1"/>
      <c r="L15" s="1"/>
      <c r="M15" s="7">
        <v>989503659</v>
      </c>
      <c r="N15" s="1"/>
    </row>
    <row r="16" spans="3:14" ht="15.75" x14ac:dyDescent="0.3">
      <c r="C16" s="5">
        <v>11</v>
      </c>
      <c r="D16" s="7" t="s">
        <v>23</v>
      </c>
      <c r="E16" s="4" t="s">
        <v>82</v>
      </c>
      <c r="F16" s="4" t="s">
        <v>110</v>
      </c>
      <c r="G16" s="4" t="s">
        <v>172</v>
      </c>
      <c r="H16" s="7" t="s">
        <v>173</v>
      </c>
      <c r="I16" s="4" t="s">
        <v>30</v>
      </c>
      <c r="J16" s="6">
        <v>3000</v>
      </c>
      <c r="K16" s="1"/>
      <c r="L16" s="1"/>
      <c r="M16" s="7">
        <v>979193604</v>
      </c>
      <c r="N16" s="1"/>
    </row>
    <row r="17" spans="2:14" ht="15.75" x14ac:dyDescent="0.3">
      <c r="C17" s="5">
        <v>13</v>
      </c>
      <c r="D17" s="19" t="s">
        <v>24</v>
      </c>
      <c r="E17" s="4" t="s">
        <v>84</v>
      </c>
      <c r="F17" s="4" t="s">
        <v>116</v>
      </c>
      <c r="G17" s="4" t="s">
        <v>100</v>
      </c>
      <c r="H17" s="25">
        <v>43323</v>
      </c>
      <c r="I17" s="4" t="s">
        <v>30</v>
      </c>
      <c r="J17" s="6">
        <v>3000</v>
      </c>
      <c r="K17" s="1"/>
      <c r="L17" s="1"/>
      <c r="M17" s="7">
        <v>964009476</v>
      </c>
      <c r="N17" s="1"/>
    </row>
    <row r="18" spans="2:14" ht="15.75" x14ac:dyDescent="0.3">
      <c r="B18" s="18" t="s">
        <v>201</v>
      </c>
      <c r="C18" s="5">
        <v>14</v>
      </c>
      <c r="D18" s="7" t="s">
        <v>25</v>
      </c>
      <c r="E18" s="4" t="s">
        <v>82</v>
      </c>
      <c r="F18" s="4" t="s">
        <v>116</v>
      </c>
      <c r="G18" s="4" t="s">
        <v>100</v>
      </c>
      <c r="H18" s="25">
        <v>43323</v>
      </c>
      <c r="I18" s="4" t="s">
        <v>30</v>
      </c>
      <c r="J18" s="6">
        <v>3000</v>
      </c>
      <c r="K18" s="1"/>
      <c r="L18" s="1"/>
      <c r="M18" s="11"/>
      <c r="N18" s="1"/>
    </row>
    <row r="19" spans="2:14" ht="15.75" x14ac:dyDescent="0.3">
      <c r="B19" s="18" t="s">
        <v>203</v>
      </c>
      <c r="C19" s="5">
        <v>15</v>
      </c>
      <c r="D19" s="7" t="s">
        <v>202</v>
      </c>
      <c r="E19" s="4" t="s">
        <v>82</v>
      </c>
      <c r="F19" s="4" t="s">
        <v>116</v>
      </c>
      <c r="G19" s="4" t="s">
        <v>100</v>
      </c>
      <c r="H19" s="25">
        <v>43323</v>
      </c>
      <c r="I19" s="4" t="s">
        <v>30</v>
      </c>
      <c r="J19" s="6">
        <v>3000</v>
      </c>
      <c r="K19" s="1"/>
      <c r="L19" s="1"/>
      <c r="M19" s="11"/>
      <c r="N19" s="1"/>
    </row>
    <row r="20" spans="2:14" ht="15.75" x14ac:dyDescent="0.3">
      <c r="C20" s="5">
        <v>16</v>
      </c>
      <c r="D20" s="7" t="s">
        <v>26</v>
      </c>
      <c r="E20" s="4" t="s">
        <v>82</v>
      </c>
      <c r="F20" s="4" t="s">
        <v>125</v>
      </c>
      <c r="G20" s="4" t="s">
        <v>96</v>
      </c>
      <c r="H20" s="25">
        <v>43383</v>
      </c>
      <c r="I20" s="4" t="s">
        <v>30</v>
      </c>
      <c r="J20" s="6">
        <v>3000</v>
      </c>
      <c r="K20" s="1"/>
      <c r="L20" s="1"/>
      <c r="M20" s="7">
        <v>946564667</v>
      </c>
      <c r="N20" s="1"/>
    </row>
    <row r="21" spans="2:14" ht="15.75" x14ac:dyDescent="0.3">
      <c r="C21" s="5">
        <v>17</v>
      </c>
      <c r="D21" s="7" t="s">
        <v>27</v>
      </c>
      <c r="E21" s="4" t="s">
        <v>82</v>
      </c>
      <c r="F21" s="4" t="s">
        <v>116</v>
      </c>
      <c r="G21" s="4" t="s">
        <v>208</v>
      </c>
      <c r="H21" s="7" t="s">
        <v>209</v>
      </c>
      <c r="I21" s="4" t="s">
        <v>30</v>
      </c>
      <c r="J21" s="6">
        <v>3000</v>
      </c>
      <c r="K21" s="1"/>
      <c r="L21" s="1"/>
      <c r="M21" s="7">
        <v>949583877</v>
      </c>
      <c r="N21" s="1"/>
    </row>
    <row r="22" spans="2:14" ht="15.75" x14ac:dyDescent="0.3">
      <c r="C22" s="5">
        <v>18</v>
      </c>
      <c r="D22" s="7" t="s">
        <v>28</v>
      </c>
      <c r="E22" s="4" t="s">
        <v>82</v>
      </c>
      <c r="F22" s="4" t="s">
        <v>116</v>
      </c>
      <c r="G22" s="4" t="s">
        <v>97</v>
      </c>
      <c r="H22" s="25">
        <v>43138</v>
      </c>
      <c r="I22" s="28" t="s">
        <v>30</v>
      </c>
      <c r="J22" s="6">
        <v>3000</v>
      </c>
      <c r="K22" s="1"/>
      <c r="L22" s="1"/>
      <c r="M22" s="11"/>
      <c r="N22" s="1"/>
    </row>
    <row r="23" spans="2:14" ht="15.75" x14ac:dyDescent="0.3">
      <c r="C23" s="5">
        <v>19</v>
      </c>
      <c r="D23" s="19" t="s">
        <v>29</v>
      </c>
      <c r="E23" s="4" t="s">
        <v>82</v>
      </c>
      <c r="F23" s="4" t="s">
        <v>116</v>
      </c>
      <c r="G23" s="4" t="s">
        <v>97</v>
      </c>
      <c r="H23" s="25">
        <v>43138</v>
      </c>
      <c r="I23" s="28" t="s">
        <v>30</v>
      </c>
      <c r="J23" s="6">
        <v>3000</v>
      </c>
      <c r="K23" s="1"/>
      <c r="L23" s="1"/>
      <c r="M23" s="11"/>
      <c r="N23" s="1"/>
    </row>
    <row r="24" spans="2:14" ht="15.75" x14ac:dyDescent="0.3">
      <c r="C24" s="5">
        <v>20</v>
      </c>
      <c r="D24" s="19" t="s">
        <v>200</v>
      </c>
      <c r="E24" s="4" t="s">
        <v>82</v>
      </c>
      <c r="F24" s="4" t="s">
        <v>116</v>
      </c>
      <c r="G24" s="4" t="s">
        <v>99</v>
      </c>
      <c r="H24" s="7" t="s">
        <v>90</v>
      </c>
      <c r="I24" s="4" t="s">
        <v>30</v>
      </c>
      <c r="J24" s="6">
        <v>3000</v>
      </c>
      <c r="K24" s="1"/>
      <c r="L24" s="1"/>
      <c r="M24" s="7">
        <v>945669466</v>
      </c>
      <c r="N24" s="1"/>
    </row>
    <row r="25" spans="2:14" ht="15.75" x14ac:dyDescent="0.3">
      <c r="C25" s="5">
        <v>21</v>
      </c>
      <c r="D25" s="7" t="s">
        <v>51</v>
      </c>
      <c r="E25" s="4" t="s">
        <v>82</v>
      </c>
      <c r="F25" s="4" t="s">
        <v>139</v>
      </c>
      <c r="G25" s="4" t="s">
        <v>140</v>
      </c>
      <c r="H25" s="7" t="s">
        <v>141</v>
      </c>
      <c r="I25" s="4" t="s">
        <v>30</v>
      </c>
      <c r="J25" s="6">
        <v>4000</v>
      </c>
      <c r="K25" s="1"/>
      <c r="L25" s="1"/>
      <c r="M25" s="7">
        <v>936737039</v>
      </c>
      <c r="N25" s="1"/>
    </row>
    <row r="26" spans="2:14" ht="15.75" x14ac:dyDescent="0.3">
      <c r="C26" s="5">
        <v>22</v>
      </c>
      <c r="D26" s="20" t="s">
        <v>185</v>
      </c>
      <c r="E26" s="4" t="s">
        <v>82</v>
      </c>
      <c r="F26" s="4" t="s">
        <v>186</v>
      </c>
      <c r="G26" s="4" t="s">
        <v>122</v>
      </c>
      <c r="H26" s="25">
        <v>43313</v>
      </c>
      <c r="I26" s="4" t="s">
        <v>30</v>
      </c>
      <c r="J26" s="6">
        <v>3000</v>
      </c>
      <c r="K26" s="1"/>
      <c r="L26" s="1"/>
      <c r="M26" s="7">
        <v>956705010</v>
      </c>
      <c r="N26" s="1"/>
    </row>
    <row r="27" spans="2:14" ht="15.75" x14ac:dyDescent="0.3">
      <c r="C27" s="5">
        <v>23</v>
      </c>
      <c r="D27" s="7" t="s">
        <v>31</v>
      </c>
      <c r="E27" s="4" t="s">
        <v>84</v>
      </c>
      <c r="F27" s="4" t="s">
        <v>142</v>
      </c>
      <c r="G27" s="4" t="s">
        <v>143</v>
      </c>
      <c r="H27" s="7" t="s">
        <v>144</v>
      </c>
      <c r="I27" s="4" t="s">
        <v>43</v>
      </c>
      <c r="J27" s="6">
        <v>15000</v>
      </c>
      <c r="K27" s="1"/>
      <c r="L27" s="1"/>
      <c r="M27" s="7">
        <v>910524919</v>
      </c>
      <c r="N27" s="1"/>
    </row>
    <row r="28" spans="2:14" ht="15.75" x14ac:dyDescent="0.3">
      <c r="C28" s="5">
        <v>24</v>
      </c>
      <c r="D28" s="7" t="s">
        <v>32</v>
      </c>
      <c r="E28" s="4" t="s">
        <v>82</v>
      </c>
      <c r="F28" s="4" t="s">
        <v>139</v>
      </c>
      <c r="G28" s="4" t="s">
        <v>97</v>
      </c>
      <c r="H28" s="25">
        <v>43110</v>
      </c>
      <c r="I28" s="4" t="s">
        <v>43</v>
      </c>
      <c r="J28" s="6">
        <v>13000</v>
      </c>
      <c r="K28" s="1"/>
      <c r="L28" s="1"/>
      <c r="M28" s="7">
        <v>976513849</v>
      </c>
      <c r="N28" s="1"/>
    </row>
    <row r="29" spans="2:14" ht="15.75" x14ac:dyDescent="0.3">
      <c r="C29" s="5">
        <v>25</v>
      </c>
      <c r="D29" s="7" t="s">
        <v>35</v>
      </c>
      <c r="E29" s="4" t="s">
        <v>82</v>
      </c>
      <c r="F29" s="4" t="s">
        <v>125</v>
      </c>
      <c r="G29" s="4" t="s">
        <v>128</v>
      </c>
      <c r="H29" s="7" t="s">
        <v>129</v>
      </c>
      <c r="I29" s="4" t="s">
        <v>43</v>
      </c>
      <c r="J29" s="6">
        <v>8000</v>
      </c>
      <c r="K29" s="1"/>
      <c r="L29" s="1"/>
      <c r="M29" s="7">
        <v>906322679</v>
      </c>
      <c r="N29" s="1"/>
    </row>
    <row r="30" spans="2:14" ht="15.75" x14ac:dyDescent="0.3">
      <c r="C30" s="5">
        <v>26</v>
      </c>
      <c r="D30" s="7" t="s">
        <v>36</v>
      </c>
      <c r="E30" s="4" t="s">
        <v>84</v>
      </c>
      <c r="F30" s="4" t="s">
        <v>83</v>
      </c>
      <c r="G30" s="4" t="s">
        <v>152</v>
      </c>
      <c r="H30" s="25">
        <v>43384</v>
      </c>
      <c r="I30" s="4" t="s">
        <v>43</v>
      </c>
      <c r="J30" s="6">
        <v>8000</v>
      </c>
      <c r="K30" s="1"/>
      <c r="L30" s="1"/>
      <c r="M30" s="7">
        <v>989087209</v>
      </c>
      <c r="N30" s="1"/>
    </row>
    <row r="31" spans="2:14" ht="15.75" x14ac:dyDescent="0.3">
      <c r="C31" s="5">
        <v>27</v>
      </c>
      <c r="D31" s="7" t="s">
        <v>37</v>
      </c>
      <c r="E31" s="4" t="s">
        <v>82</v>
      </c>
      <c r="F31" s="4" t="s">
        <v>119</v>
      </c>
      <c r="G31" s="4" t="s">
        <v>140</v>
      </c>
      <c r="H31" s="27">
        <v>43443</v>
      </c>
      <c r="I31" s="4" t="s">
        <v>43</v>
      </c>
      <c r="J31" s="6">
        <v>4000</v>
      </c>
      <c r="K31" s="1"/>
      <c r="L31" s="1"/>
      <c r="M31" s="7">
        <v>905875551</v>
      </c>
      <c r="N31" s="1"/>
    </row>
    <row r="32" spans="2:14" ht="15.75" x14ac:dyDescent="0.3">
      <c r="C32" s="5">
        <v>28</v>
      </c>
      <c r="D32" s="7" t="s">
        <v>38</v>
      </c>
      <c r="E32" s="4" t="s">
        <v>82</v>
      </c>
      <c r="F32" s="4" t="s">
        <v>125</v>
      </c>
      <c r="G32" s="4" t="s">
        <v>99</v>
      </c>
      <c r="H32" s="7" t="s">
        <v>126</v>
      </c>
      <c r="I32" s="4" t="s">
        <v>43</v>
      </c>
      <c r="J32" s="21">
        <v>4000</v>
      </c>
      <c r="K32" s="1"/>
      <c r="L32" s="1"/>
      <c r="M32" s="7">
        <v>934561203</v>
      </c>
      <c r="N32" s="1"/>
    </row>
    <row r="33" spans="3:14" ht="15.75" x14ac:dyDescent="0.3">
      <c r="C33" s="5">
        <v>29</v>
      </c>
      <c r="D33" s="7" t="s">
        <v>33</v>
      </c>
      <c r="E33" s="4" t="s">
        <v>82</v>
      </c>
      <c r="F33" s="4" t="s">
        <v>119</v>
      </c>
      <c r="G33" s="4" t="s">
        <v>94</v>
      </c>
      <c r="H33" s="7" t="s">
        <v>126</v>
      </c>
      <c r="I33" s="4" t="s">
        <v>187</v>
      </c>
      <c r="J33" s="6">
        <v>12000</v>
      </c>
      <c r="K33" s="1"/>
      <c r="L33" s="1"/>
      <c r="M33" s="9">
        <v>984397902</v>
      </c>
      <c r="N33" s="1"/>
    </row>
    <row r="34" spans="3:14" ht="15.75" x14ac:dyDescent="0.3">
      <c r="C34" s="5">
        <v>30</v>
      </c>
      <c r="D34" s="7" t="s">
        <v>194</v>
      </c>
      <c r="E34" s="4" t="s">
        <v>82</v>
      </c>
      <c r="F34" s="4" t="s">
        <v>191</v>
      </c>
      <c r="G34" s="4" t="s">
        <v>99</v>
      </c>
      <c r="H34" s="25">
        <v>43108</v>
      </c>
      <c r="I34" s="4" t="s">
        <v>187</v>
      </c>
      <c r="J34" s="6">
        <v>6000</v>
      </c>
      <c r="K34" s="1"/>
      <c r="L34" s="1"/>
      <c r="M34" s="9">
        <v>916556013</v>
      </c>
      <c r="N34" s="1"/>
    </row>
    <row r="35" spans="3:14" ht="15.75" x14ac:dyDescent="0.3">
      <c r="C35" s="5">
        <v>31</v>
      </c>
      <c r="D35" s="7" t="s">
        <v>34</v>
      </c>
      <c r="E35" s="4" t="s">
        <v>84</v>
      </c>
      <c r="F35" s="4" t="s">
        <v>142</v>
      </c>
      <c r="G35" s="4" t="s">
        <v>94</v>
      </c>
      <c r="H35" s="25">
        <v>43378</v>
      </c>
      <c r="I35" s="4" t="s">
        <v>188</v>
      </c>
      <c r="J35" s="6">
        <v>11500</v>
      </c>
      <c r="K35" s="1"/>
      <c r="L35" s="1"/>
      <c r="M35" s="7">
        <v>972032568</v>
      </c>
      <c r="N35" s="1"/>
    </row>
    <row r="36" spans="3:14" ht="15.75" x14ac:dyDescent="0.3">
      <c r="C36" s="5">
        <v>32</v>
      </c>
      <c r="D36" s="7" t="s">
        <v>39</v>
      </c>
      <c r="E36" s="4" t="s">
        <v>82</v>
      </c>
      <c r="F36" s="4" t="s">
        <v>125</v>
      </c>
      <c r="G36" s="4" t="s">
        <v>180</v>
      </c>
      <c r="H36" s="7" t="s">
        <v>179</v>
      </c>
      <c r="I36" s="4" t="s">
        <v>181</v>
      </c>
      <c r="J36" s="6">
        <v>3000</v>
      </c>
      <c r="K36" s="1"/>
      <c r="L36" s="1"/>
      <c r="M36" s="7">
        <v>979698538</v>
      </c>
      <c r="N36" s="1"/>
    </row>
    <row r="37" spans="3:14" ht="15.75" x14ac:dyDescent="0.3">
      <c r="C37" s="5">
        <v>33</v>
      </c>
      <c r="D37" s="7" t="s">
        <v>183</v>
      </c>
      <c r="E37" s="4" t="s">
        <v>82</v>
      </c>
      <c r="F37" s="4" t="s">
        <v>184</v>
      </c>
      <c r="G37" s="4" t="s">
        <v>96</v>
      </c>
      <c r="H37" s="25">
        <v>43263</v>
      </c>
      <c r="I37" s="4" t="s">
        <v>181</v>
      </c>
      <c r="J37" s="6">
        <v>3000</v>
      </c>
      <c r="K37" s="1"/>
      <c r="L37" s="1"/>
      <c r="M37" s="11">
        <v>0</v>
      </c>
      <c r="N37" s="1"/>
    </row>
    <row r="38" spans="3:14" ht="15.75" x14ac:dyDescent="0.3">
      <c r="C38" s="5">
        <v>34</v>
      </c>
      <c r="D38" s="7" t="s">
        <v>40</v>
      </c>
      <c r="E38" s="4" t="s">
        <v>82</v>
      </c>
      <c r="F38" s="4">
        <v>0</v>
      </c>
      <c r="G38" s="4" t="s">
        <v>111</v>
      </c>
      <c r="H38" s="25">
        <v>43293</v>
      </c>
      <c r="I38" s="4" t="s">
        <v>189</v>
      </c>
      <c r="J38" s="6">
        <v>7000</v>
      </c>
      <c r="K38" s="1"/>
      <c r="L38" s="1"/>
      <c r="M38" s="7">
        <v>902536515</v>
      </c>
      <c r="N38" s="1"/>
    </row>
    <row r="39" spans="3:14" ht="15.75" x14ac:dyDescent="0.3">
      <c r="C39" s="5">
        <v>35</v>
      </c>
      <c r="D39" s="7" t="s">
        <v>113</v>
      </c>
      <c r="E39" s="4" t="s">
        <v>84</v>
      </c>
      <c r="F39" s="4" t="s">
        <v>117</v>
      </c>
      <c r="G39" s="4" t="s">
        <v>98</v>
      </c>
      <c r="H39" s="7" t="s">
        <v>115</v>
      </c>
      <c r="I39" s="4" t="s">
        <v>114</v>
      </c>
      <c r="J39" s="6">
        <v>5000</v>
      </c>
      <c r="K39" s="1"/>
      <c r="L39" s="1"/>
      <c r="M39" s="7">
        <v>932865626</v>
      </c>
      <c r="N39" s="1"/>
    </row>
    <row r="40" spans="3:14" ht="15.75" x14ac:dyDescent="0.3">
      <c r="C40" s="5">
        <v>36</v>
      </c>
      <c r="D40" s="7" t="s">
        <v>42</v>
      </c>
      <c r="E40" s="4" t="s">
        <v>82</v>
      </c>
      <c r="F40" s="4" t="s">
        <v>118</v>
      </c>
      <c r="G40" s="4" t="s">
        <v>107</v>
      </c>
      <c r="H40" s="7" t="s">
        <v>106</v>
      </c>
      <c r="I40" s="4" t="s">
        <v>108</v>
      </c>
      <c r="J40" s="6">
        <v>3000</v>
      </c>
      <c r="K40" s="1"/>
      <c r="L40" s="1"/>
      <c r="M40" s="7">
        <v>964737896</v>
      </c>
      <c r="N40" s="1"/>
    </row>
    <row r="41" spans="3:14" ht="15.75" x14ac:dyDescent="0.3">
      <c r="C41" s="5">
        <v>37</v>
      </c>
      <c r="D41" s="11" t="s">
        <v>168</v>
      </c>
      <c r="E41" s="4" t="s">
        <v>82</v>
      </c>
      <c r="F41" s="4" t="s">
        <v>119</v>
      </c>
      <c r="G41" s="4" t="s">
        <v>169</v>
      </c>
      <c r="H41" s="25">
        <v>43617</v>
      </c>
      <c r="I41" s="4" t="s">
        <v>170</v>
      </c>
      <c r="J41" s="6">
        <v>3000</v>
      </c>
      <c r="K41" s="1"/>
      <c r="L41" s="1"/>
      <c r="M41" s="7">
        <v>963934487</v>
      </c>
      <c r="N41" s="1"/>
    </row>
    <row r="42" spans="3:14" ht="15.75" x14ac:dyDescent="0.3">
      <c r="C42" s="5">
        <v>38</v>
      </c>
      <c r="D42" s="7" t="s">
        <v>44</v>
      </c>
      <c r="E42" s="4" t="s">
        <v>82</v>
      </c>
      <c r="F42" s="4" t="s">
        <v>83</v>
      </c>
      <c r="G42" s="4" t="s">
        <v>94</v>
      </c>
      <c r="H42" s="25">
        <v>43195</v>
      </c>
      <c r="I42" s="4" t="s">
        <v>53</v>
      </c>
      <c r="J42" s="6">
        <v>10000</v>
      </c>
      <c r="K42" s="2"/>
      <c r="L42" s="2"/>
      <c r="M42" s="7">
        <v>951819656</v>
      </c>
      <c r="N42" s="2"/>
    </row>
    <row r="43" spans="3:14" ht="15.75" x14ac:dyDescent="0.3">
      <c r="C43" s="5">
        <v>39</v>
      </c>
      <c r="D43" s="11" t="s">
        <v>176</v>
      </c>
      <c r="E43" s="4" t="s">
        <v>82</v>
      </c>
      <c r="F43" s="28" t="s">
        <v>87</v>
      </c>
      <c r="G43" s="28" t="s">
        <v>149</v>
      </c>
      <c r="H43" s="25">
        <v>43617</v>
      </c>
      <c r="I43" s="4" t="s">
        <v>53</v>
      </c>
      <c r="J43" s="6">
        <v>10000</v>
      </c>
      <c r="K43" s="2"/>
      <c r="L43" s="2"/>
      <c r="M43" s="9">
        <v>951003615</v>
      </c>
      <c r="N43" s="2"/>
    </row>
    <row r="44" spans="3:14" ht="15.75" x14ac:dyDescent="0.3">
      <c r="C44" s="5">
        <v>40</v>
      </c>
      <c r="D44" s="7" t="s">
        <v>45</v>
      </c>
      <c r="E44" s="4" t="s">
        <v>84</v>
      </c>
      <c r="F44" s="4" t="s">
        <v>87</v>
      </c>
      <c r="G44" s="4" t="s">
        <v>134</v>
      </c>
      <c r="H44" s="25">
        <v>43415</v>
      </c>
      <c r="I44" s="4" t="s">
        <v>53</v>
      </c>
      <c r="J44" s="6">
        <f>[1]Sheet2!M20</f>
        <v>2999.9995999999996</v>
      </c>
      <c r="K44" s="2"/>
      <c r="L44" s="2"/>
      <c r="M44" s="7">
        <v>921682863</v>
      </c>
      <c r="N44" s="2"/>
    </row>
    <row r="45" spans="3:14" ht="15.75" x14ac:dyDescent="0.3">
      <c r="C45" s="5">
        <v>41</v>
      </c>
      <c r="D45" s="7" t="s">
        <v>46</v>
      </c>
      <c r="E45" s="4" t="s">
        <v>82</v>
      </c>
      <c r="F45" s="4" t="s">
        <v>119</v>
      </c>
      <c r="G45" s="4" t="s">
        <v>97</v>
      </c>
      <c r="H45" s="9" t="s">
        <v>150</v>
      </c>
      <c r="I45" s="4" t="s">
        <v>53</v>
      </c>
      <c r="J45" s="6">
        <f>[1]Sheet2!M21</f>
        <v>2999.9995999999996</v>
      </c>
      <c r="K45" s="2"/>
      <c r="L45" s="2"/>
      <c r="M45" s="7">
        <v>939682772</v>
      </c>
      <c r="N45" s="2"/>
    </row>
    <row r="46" spans="3:14" ht="15.75" x14ac:dyDescent="0.3">
      <c r="C46" s="5">
        <v>42</v>
      </c>
      <c r="D46" s="7" t="s">
        <v>47</v>
      </c>
      <c r="E46" s="4" t="s">
        <v>82</v>
      </c>
      <c r="F46" s="4" t="s">
        <v>116</v>
      </c>
      <c r="G46" s="4" t="s">
        <v>132</v>
      </c>
      <c r="H46" s="7" t="s">
        <v>133</v>
      </c>
      <c r="I46" s="4" t="s">
        <v>53</v>
      </c>
      <c r="J46" s="6">
        <f>[1]Sheet2!M22</f>
        <v>2999.9995999999996</v>
      </c>
      <c r="K46" s="1"/>
      <c r="L46" s="1"/>
      <c r="M46" s="7">
        <v>996704040</v>
      </c>
      <c r="N46" s="1"/>
    </row>
    <row r="47" spans="3:14" ht="15.75" x14ac:dyDescent="0.3">
      <c r="C47" s="5">
        <v>43</v>
      </c>
      <c r="D47" s="7" t="s">
        <v>48</v>
      </c>
      <c r="E47" s="4" t="s">
        <v>82</v>
      </c>
      <c r="F47" s="4" t="s">
        <v>88</v>
      </c>
      <c r="G47" s="4" t="s">
        <v>96</v>
      </c>
      <c r="H47" s="7" t="s">
        <v>89</v>
      </c>
      <c r="I47" s="4" t="s">
        <v>53</v>
      </c>
      <c r="J47" s="6">
        <f>[1]Sheet2!M23</f>
        <v>2999.9995999999996</v>
      </c>
      <c r="K47" s="1"/>
      <c r="L47" s="1"/>
      <c r="M47" s="7">
        <v>966428739</v>
      </c>
      <c r="N47" s="1"/>
    </row>
    <row r="48" spans="3:14" ht="15.75" x14ac:dyDescent="0.3">
      <c r="C48" s="5">
        <v>44</v>
      </c>
      <c r="D48" s="7" t="s">
        <v>49</v>
      </c>
      <c r="E48" s="4" t="s">
        <v>84</v>
      </c>
      <c r="F48" s="4" t="s">
        <v>157</v>
      </c>
      <c r="G48" s="4" t="s">
        <v>158</v>
      </c>
      <c r="H48" s="7" t="s">
        <v>137</v>
      </c>
      <c r="I48" s="4" t="s">
        <v>53</v>
      </c>
      <c r="J48" s="6">
        <f>[1]Sheet2!M24</f>
        <v>2999.9995999999996</v>
      </c>
      <c r="K48" s="1"/>
      <c r="L48" s="1"/>
      <c r="M48" s="7">
        <v>960152718</v>
      </c>
      <c r="N48" s="1"/>
    </row>
    <row r="49" spans="3:14" ht="15.75" x14ac:dyDescent="0.3">
      <c r="C49" s="5">
        <v>45</v>
      </c>
      <c r="D49" s="7" t="s">
        <v>50</v>
      </c>
      <c r="E49" s="4" t="s">
        <v>82</v>
      </c>
      <c r="F49" s="4" t="s">
        <v>119</v>
      </c>
      <c r="G49" s="4" t="s">
        <v>98</v>
      </c>
      <c r="H49" s="7" t="s">
        <v>182</v>
      </c>
      <c r="I49" s="4" t="s">
        <v>53</v>
      </c>
      <c r="J49" s="6">
        <f>[1]Sheet2!M25</f>
        <v>2999.9995999999996</v>
      </c>
      <c r="K49" s="1"/>
      <c r="L49" s="1"/>
      <c r="M49" s="7">
        <v>992129514</v>
      </c>
      <c r="N49" s="1"/>
    </row>
    <row r="50" spans="3:14" ht="15.75" x14ac:dyDescent="0.3">
      <c r="C50" s="5">
        <v>46</v>
      </c>
      <c r="D50" s="7" t="s">
        <v>162</v>
      </c>
      <c r="E50" s="4" t="s">
        <v>82</v>
      </c>
      <c r="F50" s="4" t="s">
        <v>119</v>
      </c>
      <c r="G50" s="4" t="s">
        <v>163</v>
      </c>
      <c r="H50" s="7" t="s">
        <v>161</v>
      </c>
      <c r="I50" s="4" t="s">
        <v>53</v>
      </c>
      <c r="J50" s="6">
        <f>[1]Sheet2!M27</f>
        <v>2999.9995999999996</v>
      </c>
      <c r="K50" s="1"/>
      <c r="L50" s="1"/>
      <c r="M50" s="7">
        <v>941843794</v>
      </c>
      <c r="N50" s="1"/>
    </row>
    <row r="51" spans="3:14" ht="15.75" x14ac:dyDescent="0.3">
      <c r="C51" s="5">
        <v>47</v>
      </c>
      <c r="D51" s="7" t="s">
        <v>130</v>
      </c>
      <c r="E51" s="4" t="s">
        <v>84</v>
      </c>
      <c r="F51" s="4" t="s">
        <v>116</v>
      </c>
      <c r="G51" s="4" t="s">
        <v>97</v>
      </c>
      <c r="H51" s="7" t="s">
        <v>131</v>
      </c>
      <c r="I51" s="4" t="s">
        <v>53</v>
      </c>
      <c r="J51" s="6">
        <f>[1]Sheet2!M29</f>
        <v>2999.9995999999996</v>
      </c>
      <c r="K51" s="1"/>
      <c r="L51" s="1"/>
      <c r="M51" s="7">
        <v>963448939</v>
      </c>
      <c r="N51" s="1"/>
    </row>
    <row r="52" spans="3:14" ht="15.75" x14ac:dyDescent="0.3">
      <c r="C52" s="5">
        <v>48</v>
      </c>
      <c r="D52" s="7" t="s">
        <v>91</v>
      </c>
      <c r="E52" s="4" t="s">
        <v>82</v>
      </c>
      <c r="F52" s="4" t="s">
        <v>119</v>
      </c>
      <c r="G52" s="4" t="s">
        <v>98</v>
      </c>
      <c r="H52" s="25">
        <v>43414</v>
      </c>
      <c r="I52" s="4" t="s">
        <v>53</v>
      </c>
      <c r="J52" s="6">
        <v>3000</v>
      </c>
      <c r="K52" s="1"/>
      <c r="L52" s="1"/>
      <c r="M52" s="7">
        <v>943955475</v>
      </c>
      <c r="N52" s="1"/>
    </row>
    <row r="53" spans="3:14" ht="15.75" x14ac:dyDescent="0.3">
      <c r="C53" s="5">
        <v>49</v>
      </c>
      <c r="D53" s="7" t="s">
        <v>165</v>
      </c>
      <c r="E53" s="4" t="s">
        <v>82</v>
      </c>
      <c r="F53" s="4" t="s">
        <v>116</v>
      </c>
      <c r="G53" s="4" t="s">
        <v>122</v>
      </c>
      <c r="H53" s="25" t="s">
        <v>166</v>
      </c>
      <c r="I53" s="4" t="s">
        <v>167</v>
      </c>
      <c r="J53" s="6">
        <v>4000</v>
      </c>
      <c r="K53" s="1"/>
      <c r="L53" s="1"/>
      <c r="M53" s="7">
        <v>954052863</v>
      </c>
      <c r="N53" s="1"/>
    </row>
    <row r="54" spans="3:14" ht="15.75" x14ac:dyDescent="0.3">
      <c r="C54" s="5">
        <v>50</v>
      </c>
      <c r="D54" s="7" t="s">
        <v>54</v>
      </c>
      <c r="E54" s="4" t="s">
        <v>84</v>
      </c>
      <c r="F54" s="4" t="s">
        <v>118</v>
      </c>
      <c r="G54" s="4" t="s">
        <v>149</v>
      </c>
      <c r="H54" s="25">
        <v>43110</v>
      </c>
      <c r="I54" s="4" t="s">
        <v>61</v>
      </c>
      <c r="J54" s="6">
        <v>3500</v>
      </c>
      <c r="K54" s="1"/>
      <c r="L54" s="1"/>
      <c r="M54" s="7">
        <v>916730271</v>
      </c>
      <c r="N54" s="1"/>
    </row>
    <row r="55" spans="3:14" ht="15.75" x14ac:dyDescent="0.3">
      <c r="C55" s="5">
        <v>51</v>
      </c>
      <c r="D55" s="7" t="s">
        <v>55</v>
      </c>
      <c r="E55" s="4" t="s">
        <v>84</v>
      </c>
      <c r="F55" s="4" t="s">
        <v>103</v>
      </c>
      <c r="G55" s="4" t="s">
        <v>104</v>
      </c>
      <c r="H55" s="25">
        <v>43112</v>
      </c>
      <c r="I55" s="4" t="s">
        <v>61</v>
      </c>
      <c r="J55" s="6">
        <v>3500</v>
      </c>
      <c r="K55" s="1"/>
      <c r="L55" s="1"/>
      <c r="M55" s="7">
        <v>920993175</v>
      </c>
      <c r="N55" s="1"/>
    </row>
    <row r="56" spans="3:14" ht="15.75" x14ac:dyDescent="0.3">
      <c r="C56" s="5">
        <v>52</v>
      </c>
      <c r="D56" s="7" t="s">
        <v>56</v>
      </c>
      <c r="E56" s="4" t="s">
        <v>84</v>
      </c>
      <c r="F56" s="4" t="s">
        <v>116</v>
      </c>
      <c r="G56" s="4" t="s">
        <v>98</v>
      </c>
      <c r="H56" s="25">
        <v>43141</v>
      </c>
      <c r="I56" s="4" t="s">
        <v>61</v>
      </c>
      <c r="J56" s="6">
        <v>3500</v>
      </c>
      <c r="K56" s="1"/>
      <c r="L56" s="1"/>
      <c r="M56" s="7">
        <v>948890824</v>
      </c>
      <c r="N56" s="1"/>
    </row>
    <row r="57" spans="3:14" ht="15.75" x14ac:dyDescent="0.3">
      <c r="C57" s="5">
        <v>53</v>
      </c>
      <c r="D57" s="7" t="s">
        <v>57</v>
      </c>
      <c r="E57" s="4" t="s">
        <v>84</v>
      </c>
      <c r="F57" s="4" t="s">
        <v>116</v>
      </c>
      <c r="G57" s="4" t="s">
        <v>109</v>
      </c>
      <c r="H57" s="25">
        <v>43143</v>
      </c>
      <c r="I57" s="4" t="s">
        <v>61</v>
      </c>
      <c r="J57" s="6">
        <v>3500</v>
      </c>
      <c r="K57" s="1"/>
      <c r="L57" s="1"/>
      <c r="M57" s="7">
        <v>912317554</v>
      </c>
      <c r="N57" s="1"/>
    </row>
    <row r="58" spans="3:14" ht="15.75" x14ac:dyDescent="0.3">
      <c r="C58" s="5">
        <v>54</v>
      </c>
      <c r="D58" s="7" t="s">
        <v>58</v>
      </c>
      <c r="E58" s="4" t="s">
        <v>84</v>
      </c>
      <c r="F58" s="4" t="s">
        <v>88</v>
      </c>
      <c r="G58" s="4" t="s">
        <v>93</v>
      </c>
      <c r="H58" s="25">
        <v>43384</v>
      </c>
      <c r="I58" s="4" t="s">
        <v>61</v>
      </c>
      <c r="J58" s="6">
        <v>3500</v>
      </c>
      <c r="K58" s="1"/>
      <c r="L58" s="1"/>
      <c r="M58" s="7">
        <v>916696064</v>
      </c>
      <c r="N58" s="1"/>
    </row>
    <row r="59" spans="3:14" ht="15.75" x14ac:dyDescent="0.3">
      <c r="C59" s="5">
        <v>55</v>
      </c>
      <c r="D59" s="7" t="s">
        <v>59</v>
      </c>
      <c r="E59" s="4" t="s">
        <v>82</v>
      </c>
      <c r="F59" s="4">
        <v>10</v>
      </c>
      <c r="G59" s="4" t="s">
        <v>138</v>
      </c>
      <c r="H59" s="25">
        <v>43230</v>
      </c>
      <c r="I59" s="4" t="s">
        <v>61</v>
      </c>
      <c r="J59" s="6">
        <v>3500</v>
      </c>
      <c r="K59" s="1"/>
      <c r="L59" s="1"/>
      <c r="M59" s="12">
        <v>931421211</v>
      </c>
      <c r="N59" s="1"/>
    </row>
    <row r="60" spans="3:14" ht="15.75" x14ac:dyDescent="0.3">
      <c r="C60" s="5">
        <v>56</v>
      </c>
      <c r="D60" s="7" t="s">
        <v>60</v>
      </c>
      <c r="E60" s="4" t="s">
        <v>84</v>
      </c>
      <c r="F60" s="4" t="s">
        <v>119</v>
      </c>
      <c r="G60" s="4" t="s">
        <v>154</v>
      </c>
      <c r="H60" s="7" t="s">
        <v>155</v>
      </c>
      <c r="I60" s="4" t="s">
        <v>61</v>
      </c>
      <c r="J60" s="6">
        <v>3500</v>
      </c>
      <c r="K60" s="1"/>
      <c r="L60" s="1"/>
      <c r="M60" s="7">
        <v>919729061</v>
      </c>
      <c r="N60" s="1"/>
    </row>
    <row r="61" spans="3:14" ht="15.75" x14ac:dyDescent="0.3">
      <c r="C61" s="5">
        <v>57</v>
      </c>
      <c r="D61" s="7" t="s">
        <v>190</v>
      </c>
      <c r="E61" s="4" t="s">
        <v>84</v>
      </c>
      <c r="F61" s="4" t="s">
        <v>191</v>
      </c>
      <c r="G61" s="4" t="s">
        <v>180</v>
      </c>
      <c r="H61" s="25">
        <v>43191</v>
      </c>
      <c r="I61" s="4" t="s">
        <v>192</v>
      </c>
      <c r="J61" s="6">
        <v>3000</v>
      </c>
      <c r="K61" s="1"/>
      <c r="L61" s="1"/>
      <c r="M61" s="7">
        <v>907182199</v>
      </c>
      <c r="N61" s="1"/>
    </row>
    <row r="62" spans="3:14" ht="15.75" x14ac:dyDescent="0.3">
      <c r="C62" s="5">
        <v>58</v>
      </c>
      <c r="D62" s="7" t="s">
        <v>62</v>
      </c>
      <c r="E62" s="4" t="s">
        <v>84</v>
      </c>
      <c r="F62" s="4" t="s">
        <v>110</v>
      </c>
      <c r="G62" s="4" t="s">
        <v>111</v>
      </c>
      <c r="H62" s="25">
        <v>43384</v>
      </c>
      <c r="I62" s="4" t="s">
        <v>65</v>
      </c>
      <c r="J62" s="6">
        <v>9000</v>
      </c>
      <c r="K62" s="1"/>
      <c r="L62" s="1"/>
      <c r="M62" s="7">
        <v>916159211</v>
      </c>
      <c r="N62" s="1"/>
    </row>
    <row r="63" spans="3:14" ht="15.75" x14ac:dyDescent="0.3">
      <c r="C63" s="5">
        <v>59</v>
      </c>
      <c r="D63" s="7" t="s">
        <v>63</v>
      </c>
      <c r="E63" s="4" t="s">
        <v>84</v>
      </c>
      <c r="F63" s="4" t="s">
        <v>206</v>
      </c>
      <c r="G63" s="4" t="s">
        <v>207</v>
      </c>
      <c r="H63" s="7"/>
      <c r="I63" s="4" t="s">
        <v>65</v>
      </c>
      <c r="J63" s="6">
        <v>7000</v>
      </c>
      <c r="K63" s="1"/>
      <c r="L63" s="1"/>
      <c r="M63" s="11"/>
      <c r="N63" s="1"/>
    </row>
    <row r="64" spans="3:14" ht="15.75" x14ac:dyDescent="0.3">
      <c r="C64" s="5">
        <v>60</v>
      </c>
      <c r="D64" s="7" t="s">
        <v>64</v>
      </c>
      <c r="E64" s="4" t="s">
        <v>84</v>
      </c>
      <c r="F64" s="4" t="s">
        <v>116</v>
      </c>
      <c r="G64" s="4" t="s">
        <v>122</v>
      </c>
      <c r="H64" s="25">
        <v>43289</v>
      </c>
      <c r="I64" s="4" t="s">
        <v>123</v>
      </c>
      <c r="J64" s="6">
        <v>5000</v>
      </c>
      <c r="K64" s="1"/>
      <c r="L64" s="1"/>
      <c r="M64" s="7">
        <v>941374355</v>
      </c>
      <c r="N64" s="1"/>
    </row>
    <row r="65" spans="3:14" ht="15.75" x14ac:dyDescent="0.3">
      <c r="C65" s="5">
        <v>61</v>
      </c>
      <c r="D65" s="9" t="s">
        <v>66</v>
      </c>
      <c r="E65" s="4" t="s">
        <v>84</v>
      </c>
      <c r="F65" s="4" t="s">
        <v>148</v>
      </c>
      <c r="G65" s="4" t="s">
        <v>107</v>
      </c>
      <c r="H65" s="25">
        <v>43380</v>
      </c>
      <c r="I65" s="4" t="s">
        <v>145</v>
      </c>
      <c r="J65" s="6">
        <v>14000</v>
      </c>
      <c r="K65" s="1"/>
      <c r="L65" s="3"/>
      <c r="M65" s="7">
        <v>969703299</v>
      </c>
      <c r="N65" s="1"/>
    </row>
    <row r="66" spans="3:14" ht="15.75" x14ac:dyDescent="0.3">
      <c r="C66" s="5">
        <v>62</v>
      </c>
      <c r="D66" s="7" t="s">
        <v>68</v>
      </c>
      <c r="E66" s="4" t="s">
        <v>84</v>
      </c>
      <c r="F66" s="4" t="s">
        <v>120</v>
      </c>
      <c r="G66" s="4" t="s">
        <v>101</v>
      </c>
      <c r="H66" s="7" t="s">
        <v>102</v>
      </c>
      <c r="I66" s="4" t="s">
        <v>147</v>
      </c>
      <c r="J66" s="6">
        <v>5000</v>
      </c>
      <c r="K66" s="1"/>
      <c r="L66" s="1"/>
      <c r="M66" s="7">
        <v>935799321</v>
      </c>
      <c r="N66" s="1"/>
    </row>
    <row r="67" spans="3:14" ht="15.75" x14ac:dyDescent="0.3">
      <c r="C67" s="5">
        <v>63</v>
      </c>
      <c r="D67" s="7" t="s">
        <v>67</v>
      </c>
      <c r="E67" s="4" t="s">
        <v>82</v>
      </c>
      <c r="F67" s="4" t="s">
        <v>116</v>
      </c>
      <c r="G67" s="4" t="s">
        <v>149</v>
      </c>
      <c r="H67" s="25">
        <v>43443</v>
      </c>
      <c r="I67" s="4" t="s">
        <v>146</v>
      </c>
      <c r="J67" s="6">
        <f>[1]Sheet3!M19</f>
        <v>8000.0025999999998</v>
      </c>
      <c r="K67" s="1"/>
      <c r="L67" s="1"/>
      <c r="M67" s="7">
        <v>905462361</v>
      </c>
      <c r="N67" s="1"/>
    </row>
    <row r="68" spans="3:14" ht="15.75" x14ac:dyDescent="0.3">
      <c r="C68" s="5">
        <v>64</v>
      </c>
      <c r="D68" s="7" t="s">
        <v>69</v>
      </c>
      <c r="E68" s="4" t="s">
        <v>84</v>
      </c>
      <c r="F68" s="4" t="s">
        <v>87</v>
      </c>
      <c r="G68" s="4"/>
      <c r="H68" s="25">
        <v>43104</v>
      </c>
      <c r="I68" s="4" t="s">
        <v>74</v>
      </c>
      <c r="J68" s="6">
        <f>[1]Sheet3!M23</f>
        <v>30000.001500000002</v>
      </c>
      <c r="K68" s="1"/>
      <c r="L68" s="1"/>
      <c r="M68" s="7">
        <v>968636767</v>
      </c>
      <c r="N68" s="1"/>
    </row>
    <row r="69" spans="3:14" ht="15.75" x14ac:dyDescent="0.3">
      <c r="C69" s="5">
        <v>65</v>
      </c>
      <c r="D69" s="7" t="s">
        <v>70</v>
      </c>
      <c r="E69" s="4" t="s">
        <v>84</v>
      </c>
      <c r="F69" s="4" t="s">
        <v>85</v>
      </c>
      <c r="G69" s="4" t="s">
        <v>95</v>
      </c>
      <c r="H69" s="7" t="s">
        <v>86</v>
      </c>
      <c r="I69" s="4" t="s">
        <v>74</v>
      </c>
      <c r="J69" s="6">
        <v>45000</v>
      </c>
      <c r="K69" s="1"/>
      <c r="L69" s="1"/>
      <c r="M69" s="7">
        <v>911591565</v>
      </c>
      <c r="N69" s="1"/>
    </row>
    <row r="70" spans="3:14" ht="15.75" x14ac:dyDescent="0.3">
      <c r="C70" s="5">
        <v>66</v>
      </c>
      <c r="D70" s="7" t="s">
        <v>71</v>
      </c>
      <c r="E70" s="4" t="s">
        <v>84</v>
      </c>
      <c r="F70" s="4" t="s">
        <v>85</v>
      </c>
      <c r="G70" s="4" t="s">
        <v>136</v>
      </c>
      <c r="H70" s="25">
        <v>43382</v>
      </c>
      <c r="I70" s="4" t="s">
        <v>74</v>
      </c>
      <c r="J70" s="6">
        <f>[1]Sheet3!M25</f>
        <v>20000.006699999998</v>
      </c>
      <c r="K70" s="1"/>
      <c r="L70" s="1"/>
      <c r="M70" s="7">
        <v>921944997</v>
      </c>
      <c r="N70" s="1"/>
    </row>
    <row r="71" spans="3:14" ht="15.75" x14ac:dyDescent="0.3">
      <c r="C71" s="5">
        <v>67</v>
      </c>
      <c r="D71" s="7" t="s">
        <v>72</v>
      </c>
      <c r="E71" s="4" t="s">
        <v>84</v>
      </c>
      <c r="F71" s="4" t="s">
        <v>85</v>
      </c>
      <c r="G71" s="4" t="s">
        <v>94</v>
      </c>
      <c r="H71" s="7" t="s">
        <v>127</v>
      </c>
      <c r="I71" s="4" t="s">
        <v>74</v>
      </c>
      <c r="J71" s="6">
        <v>18000</v>
      </c>
      <c r="K71" s="1"/>
      <c r="L71" s="1"/>
      <c r="M71" s="7">
        <v>942969739</v>
      </c>
      <c r="N71" s="1"/>
    </row>
    <row r="72" spans="3:14" ht="15.75" x14ac:dyDescent="0.3">
      <c r="C72" s="5">
        <v>68</v>
      </c>
      <c r="D72" s="7" t="s">
        <v>73</v>
      </c>
      <c r="E72" s="4" t="s">
        <v>84</v>
      </c>
      <c r="F72" s="4" t="s">
        <v>85</v>
      </c>
      <c r="G72" s="4" t="s">
        <v>94</v>
      </c>
      <c r="H72" s="25">
        <v>43112</v>
      </c>
      <c r="I72" s="4" t="s">
        <v>80</v>
      </c>
      <c r="J72" s="6">
        <v>14000</v>
      </c>
      <c r="K72" s="1" t="s">
        <v>92</v>
      </c>
      <c r="L72" s="1"/>
      <c r="M72" s="7">
        <v>900536036</v>
      </c>
      <c r="N72" s="1"/>
    </row>
    <row r="73" spans="3:14" ht="15.75" x14ac:dyDescent="0.3">
      <c r="C73" s="5">
        <v>69</v>
      </c>
      <c r="D73" s="7" t="s">
        <v>75</v>
      </c>
      <c r="E73" s="4" t="s">
        <v>84</v>
      </c>
      <c r="F73" s="4" t="s">
        <v>83</v>
      </c>
      <c r="G73" s="4" t="s">
        <v>94</v>
      </c>
      <c r="H73" s="7" t="s">
        <v>211</v>
      </c>
      <c r="I73" s="4" t="s">
        <v>151</v>
      </c>
      <c r="J73" s="6">
        <v>10000</v>
      </c>
      <c r="K73" s="1"/>
      <c r="L73" s="1"/>
      <c r="M73" s="7">
        <v>928078160</v>
      </c>
      <c r="N73" s="1"/>
    </row>
    <row r="74" spans="3:14" ht="15.75" x14ac:dyDescent="0.3">
      <c r="C74" s="5">
        <v>70</v>
      </c>
      <c r="D74" s="7" t="s">
        <v>76</v>
      </c>
      <c r="E74" s="4" t="s">
        <v>84</v>
      </c>
      <c r="F74" s="4" t="s">
        <v>87</v>
      </c>
      <c r="G74" s="4" t="s">
        <v>99</v>
      </c>
      <c r="H74" s="7" t="s">
        <v>121</v>
      </c>
      <c r="I74" s="4" t="s">
        <v>177</v>
      </c>
      <c r="J74" s="6">
        <v>6000</v>
      </c>
      <c r="K74" s="1"/>
      <c r="L74" s="1"/>
      <c r="M74" s="7">
        <v>912931339</v>
      </c>
      <c r="N74" s="1"/>
    </row>
    <row r="75" spans="3:14" ht="15.75" x14ac:dyDescent="0.3">
      <c r="C75" s="5">
        <v>71</v>
      </c>
      <c r="D75" s="7" t="s">
        <v>77</v>
      </c>
      <c r="E75" s="4" t="s">
        <v>82</v>
      </c>
      <c r="F75" s="4" t="s">
        <v>119</v>
      </c>
      <c r="G75" s="4" t="s">
        <v>98</v>
      </c>
      <c r="H75" s="25">
        <v>43111</v>
      </c>
      <c r="I75" s="4" t="s">
        <v>124</v>
      </c>
      <c r="J75" s="6">
        <f>[1]Sheet4!M5</f>
        <v>4000.0034999999998</v>
      </c>
      <c r="K75" s="1"/>
      <c r="L75" s="1"/>
      <c r="M75" s="7">
        <v>945181301</v>
      </c>
      <c r="N75" s="1"/>
    </row>
    <row r="76" spans="3:14" ht="15.75" x14ac:dyDescent="0.3">
      <c r="C76" s="5">
        <v>72</v>
      </c>
      <c r="D76" s="7" t="s">
        <v>78</v>
      </c>
      <c r="E76" s="4" t="s">
        <v>82</v>
      </c>
      <c r="F76" s="4" t="s">
        <v>87</v>
      </c>
      <c r="G76" s="4" t="s">
        <v>101</v>
      </c>
      <c r="H76" s="7" t="s">
        <v>164</v>
      </c>
      <c r="I76" s="4" t="s">
        <v>124</v>
      </c>
      <c r="J76" s="6">
        <v>5000</v>
      </c>
      <c r="K76" s="1"/>
      <c r="L76" s="1"/>
      <c r="M76" s="7">
        <v>972746643</v>
      </c>
      <c r="N76" s="1"/>
    </row>
    <row r="77" spans="3:14" ht="15.75" x14ac:dyDescent="0.3">
      <c r="C77" s="5">
        <v>73</v>
      </c>
      <c r="D77" s="7" t="s">
        <v>79</v>
      </c>
      <c r="E77" s="4" t="s">
        <v>84</v>
      </c>
      <c r="F77" s="4" t="s">
        <v>119</v>
      </c>
      <c r="G77" s="4" t="s">
        <v>98</v>
      </c>
      <c r="H77" s="7" t="s">
        <v>212</v>
      </c>
      <c r="I77" s="4" t="s">
        <v>124</v>
      </c>
      <c r="J77" s="6">
        <v>5500</v>
      </c>
      <c r="K77" s="1"/>
      <c r="L77" s="1"/>
      <c r="M77" s="11"/>
      <c r="N77" s="1"/>
    </row>
    <row r="78" spans="3:14" x14ac:dyDescent="0.25">
      <c r="C78" s="5">
        <v>74</v>
      </c>
      <c r="D78" s="11" t="s">
        <v>159</v>
      </c>
      <c r="E78" s="29" t="s">
        <v>82</v>
      </c>
      <c r="F78" s="4" t="s">
        <v>205</v>
      </c>
      <c r="G78" s="4" t="s">
        <v>180</v>
      </c>
      <c r="H78" s="25">
        <v>43617</v>
      </c>
      <c r="I78" s="29" t="s">
        <v>160</v>
      </c>
      <c r="J78" s="22">
        <v>3000</v>
      </c>
      <c r="K78" s="10"/>
      <c r="L78" s="10"/>
      <c r="M78" s="13">
        <v>931479964</v>
      </c>
      <c r="N78" s="10"/>
    </row>
    <row r="79" spans="3:14" ht="15.75" x14ac:dyDescent="0.3">
      <c r="C79" s="5">
        <v>75</v>
      </c>
      <c r="D79" s="7" t="s">
        <v>41</v>
      </c>
      <c r="E79" s="4" t="s">
        <v>82</v>
      </c>
      <c r="F79" s="4" t="s">
        <v>83</v>
      </c>
      <c r="G79" s="4" t="s">
        <v>98</v>
      </c>
      <c r="H79" s="7" t="s">
        <v>105</v>
      </c>
      <c r="I79" s="29" t="s">
        <v>160</v>
      </c>
      <c r="J79" s="6">
        <v>3000</v>
      </c>
      <c r="K79" s="1"/>
      <c r="L79" s="1"/>
      <c r="M79" s="7">
        <v>951491603</v>
      </c>
      <c r="N79" s="1"/>
    </row>
    <row r="80" spans="3:14" x14ac:dyDescent="0.25">
      <c r="C80" s="5">
        <v>76</v>
      </c>
      <c r="D80" s="11" t="s">
        <v>171</v>
      </c>
      <c r="E80" s="4" t="s">
        <v>82</v>
      </c>
      <c r="F80" s="4" t="s">
        <v>87</v>
      </c>
      <c r="G80" s="4" t="s">
        <v>180</v>
      </c>
      <c r="H80" s="25">
        <v>43617</v>
      </c>
      <c r="I80" s="29" t="s">
        <v>160</v>
      </c>
      <c r="J80" s="22">
        <v>3000</v>
      </c>
      <c r="K80" s="10"/>
      <c r="L80" s="10"/>
      <c r="M80" s="7">
        <v>985580684</v>
      </c>
      <c r="N80" s="10"/>
    </row>
    <row r="81" spans="3:14" ht="15.75" x14ac:dyDescent="0.3">
      <c r="C81" s="5">
        <v>77</v>
      </c>
      <c r="D81" s="15" t="s">
        <v>52</v>
      </c>
      <c r="E81" s="30" t="s">
        <v>82</v>
      </c>
      <c r="F81" s="30">
        <v>8</v>
      </c>
      <c r="G81" s="30" t="s">
        <v>178</v>
      </c>
      <c r="H81" s="15" t="s">
        <v>174</v>
      </c>
      <c r="I81" s="31" t="s">
        <v>160</v>
      </c>
      <c r="J81" s="23">
        <v>3000</v>
      </c>
      <c r="K81" s="16"/>
      <c r="L81" s="16"/>
      <c r="M81" s="15">
        <v>999826929</v>
      </c>
      <c r="N81" s="10"/>
    </row>
    <row r="82" spans="3:14" x14ac:dyDescent="0.25">
      <c r="C82" s="5">
        <v>78</v>
      </c>
      <c r="D82" s="11" t="s">
        <v>199</v>
      </c>
      <c r="E82" s="4" t="s">
        <v>84</v>
      </c>
      <c r="F82" s="30">
        <v>8</v>
      </c>
      <c r="G82" s="4" t="s">
        <v>213</v>
      </c>
      <c r="H82" s="25">
        <v>43678</v>
      </c>
      <c r="I82" s="4" t="s">
        <v>197</v>
      </c>
      <c r="J82" s="23">
        <v>30000</v>
      </c>
      <c r="K82" s="10"/>
      <c r="L82" s="10"/>
      <c r="M82" s="7">
        <v>930353101</v>
      </c>
      <c r="N82" s="10"/>
    </row>
    <row r="83" spans="3:14" x14ac:dyDescent="0.25">
      <c r="C83" s="5">
        <v>79</v>
      </c>
      <c r="D83" s="34" t="s">
        <v>195</v>
      </c>
      <c r="E83" s="4" t="s">
        <v>84</v>
      </c>
      <c r="F83" s="4" t="s">
        <v>87</v>
      </c>
      <c r="G83" s="4" t="s">
        <v>97</v>
      </c>
      <c r="H83" s="7" t="s">
        <v>214</v>
      </c>
      <c r="I83" s="4" t="s">
        <v>198</v>
      </c>
      <c r="J83" s="24">
        <v>3000</v>
      </c>
      <c r="K83" s="10"/>
      <c r="L83" s="10"/>
      <c r="M83" s="7">
        <v>926105425</v>
      </c>
      <c r="N83" s="10"/>
    </row>
    <row r="84" spans="3:14" x14ac:dyDescent="0.25">
      <c r="C84" s="5">
        <v>80</v>
      </c>
      <c r="D84" s="11" t="s">
        <v>196</v>
      </c>
      <c r="E84" s="4" t="s">
        <v>84</v>
      </c>
      <c r="F84" s="4" t="s">
        <v>87</v>
      </c>
      <c r="G84" s="4" t="s">
        <v>97</v>
      </c>
      <c r="H84" s="25">
        <v>43678</v>
      </c>
      <c r="I84" s="4" t="s">
        <v>80</v>
      </c>
      <c r="J84" s="6">
        <v>15000</v>
      </c>
      <c r="K84" s="10"/>
      <c r="L84" s="10"/>
      <c r="M84" s="7">
        <v>900601882</v>
      </c>
      <c r="N84" s="10"/>
    </row>
    <row r="85" spans="3:14" x14ac:dyDescent="0.25">
      <c r="H85" s="17"/>
    </row>
    <row r="92" spans="3:14" x14ac:dyDescent="0.25">
      <c r="I92" t="s">
        <v>135</v>
      </c>
    </row>
  </sheetData>
  <mergeCells count="2">
    <mergeCell ref="F4:K4"/>
    <mergeCell ref="F5:K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*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2026-09-13T06:32:20Z</dcterms:created>
  <dcterms:modified xsi:type="dcterms:W3CDTF">2026-09-21T04:08:58Z</dcterms:modified>
</cp:coreProperties>
</file>